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Yiou's Dropbox\Dropbox (MIT)\High voltage converters - second gen\AC power supply\Switched Cap Inverter\SCMLI_Revision\SCMLI_V3\"/>
    </mc:Choice>
  </mc:AlternateContent>
  <bookViews>
    <workbookView xWindow="0" yWindow="0" windowWidth="28740" windowHeight="15000"/>
  </bookViews>
  <sheets>
    <sheet name="SCMLI_Snipped" sheetId="1" r:id="rId1"/>
    <sheet name="Power Consumption Consump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2" l="1"/>
  <c r="D17" i="2"/>
  <c r="E10" i="2"/>
  <c r="F8" i="2"/>
  <c r="F10" i="2" s="1"/>
  <c r="E8" i="2"/>
  <c r="D8" i="2"/>
  <c r="D10" i="2" s="1"/>
  <c r="D11" i="2" s="1"/>
  <c r="D19" i="2" s="1"/>
  <c r="C8" i="2"/>
  <c r="C10" i="2" s="1"/>
  <c r="C11" i="2" s="1"/>
  <c r="C19" i="2" s="1"/>
  <c r="B8" i="2"/>
  <c r="B10" i="2" s="1"/>
  <c r="B11" i="2" s="1"/>
  <c r="B19" i="2" s="1"/>
</calcChain>
</file>

<file path=xl/comments1.xml><?xml version="1.0" encoding="utf-8"?>
<comments xmlns="http://schemas.openxmlformats.org/spreadsheetml/2006/main">
  <authors>
    <author>Author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 Mbps max ICC2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Supply voltage 5V, drive Cout is 300 pF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30% efficiency</t>
        </r>
      </text>
    </comment>
  </commentList>
</comments>
</file>

<file path=xl/sharedStrings.xml><?xml version="1.0" encoding="utf-8"?>
<sst xmlns="http://schemas.openxmlformats.org/spreadsheetml/2006/main" count="208" uniqueCount="140">
  <si>
    <t>Comment</t>
  </si>
  <si>
    <t>Description</t>
  </si>
  <si>
    <t>Designator</t>
  </si>
  <si>
    <t>Footprint</t>
  </si>
  <si>
    <t>LibRef</t>
  </si>
  <si>
    <t>Quantity</t>
  </si>
  <si>
    <t>Value</t>
  </si>
  <si>
    <t>Cap Semi</t>
  </si>
  <si>
    <t>Capacitor (Semiconductor SIM Model)</t>
  </si>
  <si>
    <t>C3_GM1, C3_GM2, C3_GM3, C3_GM4, C3_GM5, C3_GM6, C3_GM7, C3_GM8, C3_GM9, C10_GM1, C10_GM2, C10_GM3, C10_GM4, C10_GM5, C10_GM6, C10_GM7, C10_GM8, C10_GM9, C19, C20, C21, C22, C23, C71, C72, Cr2_2, Cr3_2, Cr3_3, Cr6, Cr7, Cr8, Cr9, Cr10, Cu1_1, Cu2_1_GM1, Cu2_1_GM2, Cu2_1_GM3, Cu2_1_GM4, Cu2_1_GM5, Cu2_1_GM6, Cu2_1_GM7, Cu2_1_GM8, Cu2_1_GM9, Cu8_1_GM1, Cu8_1_GM2, Cu8_1_GM3, Cu8_1_GM4, Cu8_1_GM5, Cu8_1_GM6, Cu8_1_GM7, Cu8_1_GM8, Cu8_1_GM9, Cu14_1, Cu16_1, Cu20_1_GM1, Cu20_1_GM2, Cu20_1_GM3, Cu20_1_GM4, Cu20_1_GM5, Cu20_1_GM6, Cu20_1_GM7, Cu20_1_GM8, Cu20_1_GM9, Cu75_1</t>
  </si>
  <si>
    <t>1608[0603]</t>
  </si>
  <si>
    <t>10uF, 10uF, 10uF, 10uF, 10uF, 10uF, 10uF, 10uF, 10uF, 10uF, 10uF, 10uF, 10uF, 10uF, 10uF, 10uF, 10uF, 10uF, 0.1uF, 0.1uF, 0.1uF, 0.1uF, 0.1uF, 10uF, 10uF, 0.1u, 0.1u, 0.1u, 0.1uF, 0.1uF, 0.1uF, 0.1uF, 0.1uF, 2.2u, 2.2u, 2.2u, 2.2u, 2.2u, 2.2u, 2.2u, 2.2u, 2.2u, 2.2u, 2.2u, 2.2u, 2.2u, 2.2u, 2.2u, 2.2u, 2.2u, 2.2u, 2.2u, 2.2u, 2.2u, 2.2u, 2.2u, 2.2u, 2.2u, 2.2u, 2.2u, 2.2u, 2.2u, 2.2u, 2.2u</t>
  </si>
  <si>
    <t>C8_GM1, C8_GM2, C8_GM3, C8_GM4, C8_GM5, C8_GM6, C8_GM7, C8_GM8, C8_GM9, C12, Cin</t>
  </si>
  <si>
    <t>1812</t>
  </si>
  <si>
    <t>150nF</t>
  </si>
  <si>
    <t>C9_GM1, C9_GM2, C9_GM3, C9_GM4, C9_GM5, C9_GM6, C9_GM7, C9_GM8, C9_GM9, C14, C15, C17_GM1, C17_GM2, C17_GM3, C17_GM4, C17_GM5, C17_GM6, C17_GM7, C17_GM8, C17_GM9, Cr1_1_GM1, Cr1_1_GM2, Cr1_1_GM3, Cr1_1_GM4, Cr1_1_GM5, Cr1_1_GM6, Cr1_1_GM7, Cr1_1_GM8, Cr1_1_GM9, Cr1_2_GM1, Cr1_2_GM2, Cr1_2_GM3, Cr1_2_GM4, Cr1_2_GM5, Cr1_2_GM6, Cr1_2_GM7, Cr1_2_GM8, Cr1_2_GM9, Cr2_3</t>
  </si>
  <si>
    <t>J1-0603</t>
  </si>
  <si>
    <t>10uF, 10uF, 10uF, 10uF, 10uF, 10uF, 10uF, 10uF, 10uF, 0.1uF, 0.1uF, 10uF, 10uF, 10uF, 10uF, 10uF, 10uF, 10uF, 10uF, 10uF, 0.1u, 0.1u, 0.1u, 0.1u, 0.1u, 0.1u, 0.1u, 0.1u, 0.1u, 0.1u, 0.1u, 0.1u, 0.1u, 0.1u, 0.1u, 0.1u, 0.1u, 0.1u, 0.1u</t>
  </si>
  <si>
    <t>C18</t>
  </si>
  <si>
    <t>0805</t>
  </si>
  <si>
    <t>22uF</t>
  </si>
  <si>
    <t>C25, C26, C29, C30, Cr4_1, Cr4_2, Cr5_1, Cr5_2, Cu3_1_GM1, Cu3_1_GM2, Cu3_1_GM3, Cu3_1_GM4, Cu3_1_GM5, Cu3_1_GM6, Cu3_1_GM7, Cu3_1_GM8, Cu3_1_GM9, Cu3_2_GM1, Cu3_2_GM2, Cu3_2_GM3, Cu3_2_GM4, Cu3_2_GM5, Cu3_2_GM6, Cu3_2_GM7, Cu3_2_GM8, Cu3_2_GM9, Cu4_1_GM1, Cu4_1_GM2, Cu4_1_GM3, Cu4_1_GM4, Cu4_1_GM5, Cu4_1_GM6, Cu4_1_GM7, Cu4_1_GM8, Cu4_1_GM9, Cu4_2_GM1, Cu4_2_GM2, Cu4_2_GM3, Cu4_2_GM4, Cu4_2_GM5, Cu4_2_GM6, Cu4_2_GM7, Cu4_2_GM8, Cu4_2_GM9, Cu5_1_GM1, Cu5_1_GM2, Cu5_1_GM3, Cu5_1_GM4, Cu5_1_GM5, Cu5_1_GM6, Cu5_1_GM7, Cu5_1_GM8, Cu5_1_GM9, Cu5_2_GM1, Cu5_2_GM2, Cu5_2_GM3, Cu5_2_GM4, Cu5_2_GM5, Cu5_2_GM6, Cu5_2_GM7, Cu5_2_GM8, Cu5_2_GM9, Cu12_1, Cu12_2, Cu74_1, Cu74_2</t>
  </si>
  <si>
    <t>C1206</t>
  </si>
  <si>
    <t>0.33uF, 0.1uF, 1uF, 1uF, 0.1u, 0.1u, 47n, 47n,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0.1u, 0.1u</t>
  </si>
  <si>
    <t>SE30PAJ-M3</t>
  </si>
  <si>
    <t/>
  </si>
  <si>
    <t>D5_GM1, D5_GM2, D5_GM3, D5_GM4, D5_GM5, D5_GM6, D5_GM7, D5_GM8, D5_GM9, D6_GM1, D6_GM2, D6_GM3, D6_GM4, D6_GM5, D6_GM6, D6_GM7, D6_GM8, D6_GM9, D12</t>
  </si>
  <si>
    <t>Header 2</t>
  </si>
  <si>
    <t>Header, 2-Pin</t>
  </si>
  <si>
    <t>J1</t>
  </si>
  <si>
    <t>PheonixContact_1757242</t>
  </si>
  <si>
    <t>Header 3</t>
  </si>
  <si>
    <t>Header, 3-Pin</t>
  </si>
  <si>
    <t>J2</t>
  </si>
  <si>
    <t>3_test_pin</t>
  </si>
  <si>
    <t>J3</t>
  </si>
  <si>
    <t>HVOUT</t>
  </si>
  <si>
    <t>Header 1</t>
  </si>
  <si>
    <t>Header, 1-Pin</t>
  </si>
  <si>
    <t>J4, J5</t>
  </si>
  <si>
    <t>GNDOUT</t>
  </si>
  <si>
    <t>J6</t>
  </si>
  <si>
    <t>BatteryConnector_Molex_1720640002</t>
  </si>
  <si>
    <t>Header 6</t>
  </si>
  <si>
    <t>Header, 6-Pin</t>
  </si>
  <si>
    <t>P1, P2</t>
  </si>
  <si>
    <t>HDR1X6</t>
  </si>
  <si>
    <t>IPN80R1K2P7</t>
  </si>
  <si>
    <t>Q2, Q5_GM1, Q5_GM2, Q5_GM3, Q5_GM4, Q5_GM5, Q5_GM6, Q5_GM7, Q5_GM8, Q5_GM9, Q8_GM1, Q8_GM2, Q8_GM3, Q8_GM4, Q8_GM5, Q8_GM6, Q8_GM7, Q8_GM8, Q8_GM9, Q10_GM1, Q10_GM2, Q10_GM3, Q10_GM4, Q10_GM5, Q10_GM6, Q10_GM7, Q10_GM8, Q10_GM9, Q11_GM1, Q11_GM2, Q11_GM3, Q11_GM4, Q11_GM5, Q11_GM6, Q11_GM7, Q11_GM8, Q11_GM9, Q12_GM1, Q12_GM2, Q12_GM3, Q12_GM4, Q12_GM5, Q12_GM6, Q12_GM7, Q12_GM8, Q12_GM9, Q45, Q48, Q49, Q50</t>
  </si>
  <si>
    <t>SOT233-3</t>
  </si>
  <si>
    <t>10</t>
  </si>
  <si>
    <t>Resistor 0402 / 0603 / 0805</t>
  </si>
  <si>
    <t>R1, R2, R4, R6, R8, R10, R16_GM1, R16_GM2, R16_GM3, R16_GM4, R16_GM5, R16_GM6, R16_GM7, R16_GM8, R16_GM9, R17_GM1, R17_GM2, R17_GM3, R17_GM4, R17_GM5, R17_GM6, R17_GM7, R17_GM8, R17_GM9, R18_GM1, R18_GM2, R18_GM3, R18_GM4, R18_GM5, R18_GM6, R18_GM7, R18_GM8, R18_GM9, R19_GM1, R19_GM2, R19_GM3, R19_GM4, R19_GM5, R19_GM6, R19_GM7, R19_GM8, R19_GM9, R20_GM1, R20_GM2, R20_GM3, R20_GM4, R20_GM5, R20_GM6, R20_GM7, R20_GM8, R20_GM9, R21_GM1, R21_GM2, R21_GM3, R21_GM4, R21_GM5, R21_GM6, R21_GM7, R21_GM8, R21_GM9, R22_GM1, R22_GM2, R22_GM3, R22_GM4, R22_GM5, R22_GM6, R22_GM7, R22_GM8, R22_GM9, R23_GM1, R23_GM2, R23_GM3, R23_GM4, R23_GM5, R23_GM6, R23_GM7, R23_GM8, R23_GM9, R24_GM1, R24_GM2, R24_GM3, R24_GM4, R24_GM5, R24_GM6, R24_GM7, R24_GM8, R24_GM9, R25_GM1, R25_GM2, R25_GM3, R25_GM4, R25_GM5, R25_GM6, R25_GM7, R25_GM8, R25_GM9, R98, R99, Rr4</t>
  </si>
  <si>
    <t>Resistor_ST</t>
  </si>
  <si>
    <t>10K</t>
  </si>
  <si>
    <t>Res3</t>
  </si>
  <si>
    <t>Resistor</t>
  </si>
  <si>
    <t>R26, R27, R28, R29</t>
  </si>
  <si>
    <t>10K, 220, 49.9, 49.9</t>
  </si>
  <si>
    <t>MAX17601</t>
  </si>
  <si>
    <t>U1, U2_GM1, U2_GM2, U2_GM3, U2_GM4, U2_GM5, U2_GM6, U2_GM7, U2_GM8, U2_GM9, U8_GM1, U8_GM2, U8_GM3, U8_GM4, U8_GM5, U8_GM6, U8_GM7, U8_GM8, U8_GM9, U14, U16, U20_GM1, U20_GM2, U20_GM3, U20_GM4, U20_GM5, U20_GM6, U20_GM7, U20_GM8, U20_GM9, U75</t>
  </si>
  <si>
    <t>DFN-8_DD</t>
  </si>
  <si>
    <t>ISO7720FDWV</t>
  </si>
  <si>
    <t>U3_GM1, U3_GM2, U3_GM3, U3_GM4, U3_GM5, U3_GM6, U3_GM7, U3_GM8, U3_GM9, U4_GM1, U4_GM2, U4_GM3, U4_GM4, U4_GM5, U4_GM6, U4_GM7, U4_GM8, U4_GM9, U5_GM1, U5_GM2, U5_GM3, U5_GM4, U5_GM5, U5_GM6, U5_GM7, U5_GM8, U5_GM9, U12, U74, Ur4</t>
  </si>
  <si>
    <t>TI_DWV</t>
  </si>
  <si>
    <t>ADuM6000</t>
  </si>
  <si>
    <t>Isolatd 5V-5V DCDC power supply</t>
  </si>
  <si>
    <t>U6_GM1, U6_GM2, U6_GM3, U6_GM4, U6_GM5, U6_GM6, U6_GM7, U6_GM8, U6_GM9, U21</t>
  </si>
  <si>
    <t>SOIC127P1030X265-16N</t>
  </si>
  <si>
    <t>DSPIC33FJ256GP510</t>
  </si>
  <si>
    <t>No Description Available</t>
  </si>
  <si>
    <t>U22</t>
  </si>
  <si>
    <t>TQFP100_12x12MC-</t>
  </si>
  <si>
    <t>AZ1117E</t>
  </si>
  <si>
    <t>U24</t>
  </si>
  <si>
    <t>SOT223</t>
  </si>
  <si>
    <t>ADUM5028-5BRIZ</t>
  </si>
  <si>
    <t>Ur1_GM1, Ur1_GM2, Ur1_GM3, Ur1_GM4, Ur1_GM5, Ur1_GM6, Ur1_GM7, Ur1_GM8, Ur1_GM9, Ur2, Ur3</t>
  </si>
  <si>
    <t>RI_8_1</t>
  </si>
  <si>
    <t>HCPL-0931</t>
  </si>
  <si>
    <t>Ur5</t>
  </si>
  <si>
    <t>SOIC-8</t>
  </si>
  <si>
    <t>Part Number: CY74FCT841T_DBQ_24</t>
  </si>
  <si>
    <t>10-Bit Bus-Interface D-Type Latches with 3-State Outputs</t>
  </si>
  <si>
    <t>Ur6, Ur7, Ur8, Ur9, Ur10</t>
  </si>
  <si>
    <t>DBQ24</t>
  </si>
  <si>
    <t>CY74FCT841T_DBQ_</t>
  </si>
  <si>
    <t>L78series</t>
  </si>
  <si>
    <t>Positive Voltage Regulator</t>
  </si>
  <si>
    <t>VR1</t>
  </si>
  <si>
    <t>L78_TO220_3</t>
  </si>
  <si>
    <t>PM-REG-L78</t>
  </si>
  <si>
    <t>Components per stage or per board</t>
  </si>
  <si>
    <t>Categories</t>
  </si>
  <si>
    <t>Logic</t>
  </si>
  <si>
    <t>Gate driving</t>
  </si>
  <si>
    <t>Components</t>
  </si>
  <si>
    <t>Microcontroller</t>
  </si>
  <si>
    <t>Latches</t>
  </si>
  <si>
    <t>Isolator</t>
  </si>
  <si>
    <t>Gate Driver</t>
  </si>
  <si>
    <t>PS for stage A</t>
  </si>
  <si>
    <t>Part Number</t>
  </si>
  <si>
    <t>DSPIC33FJ256GP510-I/PT</t>
  </si>
  <si>
    <t>CY74FCT841T_DBQ_24</t>
  </si>
  <si>
    <t>MAX17601ATA+T</t>
  </si>
  <si>
    <t>Digikey link</t>
  </si>
  <si>
    <t>https://www.digikey.com/product-detail/en/microchip-technology/DSPIC33FJ256GP510-I-PT/DSPIC33FJ256GP510-I-PT-ND/1015438</t>
  </si>
  <si>
    <t>https://www.digikey.com/product-detail/en/texas-instruments/CY74FCT841CTQCT/296-23386-1-ND/1843515</t>
  </si>
  <si>
    <t>https://www.digikey.com/product-detail/en/texas-instruments/ISO7720FDWV/ISO7720FDWV-ND/9597830</t>
  </si>
  <si>
    <t>https://www.digikey.com/product-detail/en/maxim-integrated/MAX17601ATA-T/MAX17601ATA-TCT-ND/6680197</t>
  </si>
  <si>
    <t>https://www.digikey.com/product-detail/en/analog-devices-inc/ADUM5028-5BRIZ/ADUM5028-5BRIZ-ND/9485493</t>
  </si>
  <si>
    <t>Supply Voltage (V)</t>
  </si>
  <si>
    <t>--</t>
  </si>
  <si>
    <t>Supply Current (mA)</t>
  </si>
  <si>
    <t>Power draw per unit (mW)</t>
  </si>
  <si>
    <t>Number of unit per stage</t>
  </si>
  <si>
    <t>Power draw per stage (mW)</t>
  </si>
  <si>
    <t>Total power draw per PS (mW)</t>
  </si>
  <si>
    <t>Intermediate power supply</t>
  </si>
  <si>
    <t>Power Supply for this category</t>
  </si>
  <si>
    <t>ADUM6000ARWZ</t>
  </si>
  <si>
    <t>Power Supply Digikey link</t>
  </si>
  <si>
    <t>https://www.digikey.com/product-detail/en/analog-devices-inc/ADUM6000ARWZ-RL/ADUM6000ARWZ-RLCT-ND/4908247</t>
  </si>
  <si>
    <t>Output Voltage (V)</t>
  </si>
  <si>
    <t>Max output current (mA)</t>
  </si>
  <si>
    <t>Max output power (mW)</t>
  </si>
  <si>
    <t>Number of stages needed</t>
  </si>
  <si>
    <t>Total input power needed (mW)</t>
  </si>
  <si>
    <t>Main power supply</t>
  </si>
  <si>
    <t>L7806CV or L78S05CV</t>
  </si>
  <si>
    <t>https://www.digikey.com/product-detail/en/diodes-incorporated/AZ1117EH-3.3TRG1/AZ1117EH-3.3TRG1DICT-ND/5001336</t>
  </si>
  <si>
    <t>https://www.digikey.com/product-detail/en/stmicroelectronics/L7806CD2T-TR/497-7258-1-ND/1884018 OR https://www.digikey.com/product-detail/en/stmicroelectronics/L78S05CV/497-1468-5-ND/585989</t>
  </si>
  <si>
    <t>6 OR 5</t>
  </si>
  <si>
    <t>1500 OR 2000</t>
  </si>
  <si>
    <t>9000 OR 10000</t>
  </si>
  <si>
    <t>Connector</t>
  </si>
  <si>
    <t>https://www.digikey.com/product-detail/en/te-connectivity-amp-connectors/2154828-1/A107460-ND/3929750</t>
  </si>
  <si>
    <t>Mating</t>
  </si>
  <si>
    <t>https://www.digikey.com/product-detail/en/te-connectivity-amp-connectors/2154829-1/A107463CT-ND/3929753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</si>
</sst>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quotePrefix="1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5" fillId="0" borderId="0" xfId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1"/>
    <xf numFmtId="0" fontId="4" fillId="2" borderId="1" xfId="0" quotePrefix="1" applyFont="1" applyFill="1" applyBorder="1" applyAlignment="1">
      <alignment horizontal="center"/>
    </xf>
    <xf numFmtId="0" fontId="4" fillId="0" borderId="1" xfId="0" quotePrefix="1" applyFont="1" applyBorder="1"/>
    <xf numFmtId="0" fontId="4" fillId="0" borderId="1" xfId="0" applyFont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stmicroelectronics/L7806CD2T-TR/497-7258-1-ND/1884018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www.digikey.com/product-detail/en/analog-devices-inc/ADUM6000ARWZ-RL/ADUM6000ARWZ-RLCT-ND/4908247" TargetMode="External"/><Relationship Id="rId7" Type="http://schemas.openxmlformats.org/officeDocument/2006/relationships/hyperlink" Target="https://www.digikey.com/product-detail/en/analog-devices-inc/ADUM5028-5BRIZ/ADUM5028-5BRIZ-ND/9485493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www.digikey.com/product-detail/en/maxim-integrated/MAX17601ATA-T/MAX17601ATA-TCT-ND/6680197" TargetMode="External"/><Relationship Id="rId1" Type="http://schemas.openxmlformats.org/officeDocument/2006/relationships/hyperlink" Target="https://www.digikey.com/product-detail/en/microchip-technology/DSPIC33FJ256GP510-I-PT/DSPIC33FJ256GP510-I-PT-ND/1015438" TargetMode="External"/><Relationship Id="rId6" Type="http://schemas.openxmlformats.org/officeDocument/2006/relationships/hyperlink" Target="https://www.digikey.com/product-detail/en/diodes-incorporated/AZ1117EH-3.3TRG1/AZ1117EH-3.3TRG1DICT-ND/5001336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digikey.com/product-detail/en/texas-instruments/ISO7720FDWV/ISO7720FDWV-ND/9597830" TargetMode="External"/><Relationship Id="rId10" Type="http://schemas.openxmlformats.org/officeDocument/2006/relationships/hyperlink" Target="https://www.digikey.com/product-detail/en/te-connectivity-amp-connectors/2154829-1/A107463CT-ND/3929753" TargetMode="External"/><Relationship Id="rId4" Type="http://schemas.openxmlformats.org/officeDocument/2006/relationships/hyperlink" Target="https://www.digikey.com/product-detail/en/texas-instruments/CY74FCT841CTQCT/296-23386-1-ND/1843515" TargetMode="External"/><Relationship Id="rId9" Type="http://schemas.openxmlformats.org/officeDocument/2006/relationships/hyperlink" Target="https://www.digikey.com/product-detail/en/te-connectivity-amp-connectors/2154828-1/A107460-ND/3929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12" sqref="G12"/>
    </sheetView>
  </sheetViews>
  <sheetFormatPr defaultRowHeight="15.75" x14ac:dyDescent="0.25"/>
  <cols>
    <col min="1" max="7" width="29.42578125" style="26" customWidth="1"/>
  </cols>
  <sheetData>
    <row r="1" spans="1:7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7" x14ac:dyDescent="0.25">
      <c r="A2" s="24" t="s">
        <v>7</v>
      </c>
      <c r="B2" s="24" t="s">
        <v>8</v>
      </c>
      <c r="C2" s="24" t="s">
        <v>9</v>
      </c>
      <c r="D2" s="24" t="s">
        <v>10</v>
      </c>
      <c r="E2" s="24" t="s">
        <v>7</v>
      </c>
      <c r="F2" s="25">
        <v>64</v>
      </c>
      <c r="G2" s="24" t="s">
        <v>11</v>
      </c>
    </row>
    <row r="3" spans="1:7" x14ac:dyDescent="0.25">
      <c r="A3" s="24" t="s">
        <v>7</v>
      </c>
      <c r="B3" s="24" t="s">
        <v>8</v>
      </c>
      <c r="C3" s="24" t="s">
        <v>12</v>
      </c>
      <c r="D3" s="24" t="s">
        <v>13</v>
      </c>
      <c r="E3" s="24" t="s">
        <v>7</v>
      </c>
      <c r="F3" s="25">
        <v>11</v>
      </c>
      <c r="G3" s="24" t="s">
        <v>14</v>
      </c>
    </row>
    <row r="4" spans="1:7" x14ac:dyDescent="0.25">
      <c r="A4" s="24" t="s">
        <v>7</v>
      </c>
      <c r="B4" s="24" t="s">
        <v>8</v>
      </c>
      <c r="C4" s="24" t="s">
        <v>15</v>
      </c>
      <c r="D4" s="24" t="s">
        <v>16</v>
      </c>
      <c r="E4" s="24" t="s">
        <v>7</v>
      </c>
      <c r="F4" s="25">
        <v>39</v>
      </c>
      <c r="G4" s="24" t="s">
        <v>17</v>
      </c>
    </row>
    <row r="5" spans="1:7" x14ac:dyDescent="0.25">
      <c r="A5" s="24" t="s">
        <v>7</v>
      </c>
      <c r="B5" s="24" t="s">
        <v>8</v>
      </c>
      <c r="C5" s="24" t="s">
        <v>18</v>
      </c>
      <c r="D5" s="24" t="s">
        <v>19</v>
      </c>
      <c r="E5" s="24" t="s">
        <v>7</v>
      </c>
      <c r="F5" s="25">
        <v>1</v>
      </c>
      <c r="G5" s="24" t="s">
        <v>20</v>
      </c>
    </row>
    <row r="6" spans="1:7" x14ac:dyDescent="0.25">
      <c r="A6" s="24" t="s">
        <v>7</v>
      </c>
      <c r="B6" s="24" t="s">
        <v>8</v>
      </c>
      <c r="C6" s="24" t="s">
        <v>21</v>
      </c>
      <c r="D6" s="24" t="s">
        <v>22</v>
      </c>
      <c r="E6" s="24" t="s">
        <v>7</v>
      </c>
      <c r="F6" s="25">
        <v>66</v>
      </c>
      <c r="G6" s="24" t="s">
        <v>23</v>
      </c>
    </row>
    <row r="7" spans="1:7" x14ac:dyDescent="0.25">
      <c r="A7" s="24" t="s">
        <v>24</v>
      </c>
      <c r="B7" s="24" t="s">
        <v>25</v>
      </c>
      <c r="C7" s="24" t="s">
        <v>26</v>
      </c>
      <c r="D7" s="24" t="s">
        <v>24</v>
      </c>
      <c r="E7" s="24" t="s">
        <v>24</v>
      </c>
      <c r="F7" s="25">
        <v>19</v>
      </c>
      <c r="G7" s="24" t="s">
        <v>25</v>
      </c>
    </row>
    <row r="8" spans="1:7" x14ac:dyDescent="0.25">
      <c r="A8" s="24" t="s">
        <v>27</v>
      </c>
      <c r="B8" s="24" t="s">
        <v>28</v>
      </c>
      <c r="C8" s="24" t="s">
        <v>29</v>
      </c>
      <c r="D8" s="24" t="s">
        <v>30</v>
      </c>
      <c r="E8" s="24" t="s">
        <v>27</v>
      </c>
      <c r="F8" s="25">
        <v>1</v>
      </c>
      <c r="G8" s="24" t="s">
        <v>25</v>
      </c>
    </row>
    <row r="9" spans="1:7" x14ac:dyDescent="0.25">
      <c r="A9" s="24" t="s">
        <v>31</v>
      </c>
      <c r="B9" s="24" t="s">
        <v>32</v>
      </c>
      <c r="C9" s="24" t="s">
        <v>33</v>
      </c>
      <c r="D9" s="24" t="s">
        <v>34</v>
      </c>
      <c r="E9" s="24" t="s">
        <v>31</v>
      </c>
      <c r="F9" s="25">
        <v>1</v>
      </c>
      <c r="G9" s="24" t="s">
        <v>25</v>
      </c>
    </row>
    <row r="10" spans="1:7" x14ac:dyDescent="0.25">
      <c r="A10" s="24" t="s">
        <v>27</v>
      </c>
      <c r="B10" s="24" t="s">
        <v>28</v>
      </c>
      <c r="C10" s="24" t="s">
        <v>35</v>
      </c>
      <c r="D10" s="24" t="s">
        <v>36</v>
      </c>
      <c r="E10" s="24" t="s">
        <v>27</v>
      </c>
      <c r="F10" s="25">
        <v>1</v>
      </c>
      <c r="G10" s="24" t="s">
        <v>25</v>
      </c>
    </row>
    <row r="11" spans="1:7" x14ac:dyDescent="0.25">
      <c r="A11" s="24" t="s">
        <v>37</v>
      </c>
      <c r="B11" s="24" t="s">
        <v>38</v>
      </c>
      <c r="C11" s="24" t="s">
        <v>39</v>
      </c>
      <c r="D11" s="24" t="s">
        <v>40</v>
      </c>
      <c r="E11" s="24" t="s">
        <v>37</v>
      </c>
      <c r="F11" s="25">
        <v>2</v>
      </c>
      <c r="G11" s="24" t="s">
        <v>25</v>
      </c>
    </row>
    <row r="12" spans="1:7" x14ac:dyDescent="0.25">
      <c r="A12" s="24" t="s">
        <v>27</v>
      </c>
      <c r="B12" s="24" t="s">
        <v>28</v>
      </c>
      <c r="C12" s="24" t="s">
        <v>41</v>
      </c>
      <c r="D12" s="24" t="s">
        <v>42</v>
      </c>
      <c r="E12" s="24" t="s">
        <v>27</v>
      </c>
      <c r="F12" s="25">
        <v>1</v>
      </c>
      <c r="G12" s="24" t="s">
        <v>25</v>
      </c>
    </row>
    <row r="13" spans="1:7" x14ac:dyDescent="0.25">
      <c r="A13" s="24" t="s">
        <v>43</v>
      </c>
      <c r="B13" s="24" t="s">
        <v>44</v>
      </c>
      <c r="C13" s="24" t="s">
        <v>45</v>
      </c>
      <c r="D13" s="24" t="s">
        <v>46</v>
      </c>
      <c r="E13" s="24" t="s">
        <v>43</v>
      </c>
      <c r="F13" s="25">
        <v>2</v>
      </c>
      <c r="G13" s="24" t="s">
        <v>25</v>
      </c>
    </row>
    <row r="14" spans="1:7" x14ac:dyDescent="0.25">
      <c r="A14" s="24" t="s">
        <v>47</v>
      </c>
      <c r="B14" s="24" t="s">
        <v>25</v>
      </c>
      <c r="C14" s="24" t="s">
        <v>48</v>
      </c>
      <c r="D14" s="24" t="s">
        <v>49</v>
      </c>
      <c r="E14" s="24" t="s">
        <v>47</v>
      </c>
      <c r="F14" s="25">
        <v>50</v>
      </c>
      <c r="G14" s="24" t="s">
        <v>25</v>
      </c>
    </row>
    <row r="15" spans="1:7" x14ac:dyDescent="0.25">
      <c r="A15" s="24" t="s">
        <v>50</v>
      </c>
      <c r="B15" s="24" t="s">
        <v>51</v>
      </c>
      <c r="C15" s="24" t="s">
        <v>52</v>
      </c>
      <c r="D15" s="24" t="s">
        <v>10</v>
      </c>
      <c r="E15" s="24" t="s">
        <v>53</v>
      </c>
      <c r="F15" s="25">
        <v>99</v>
      </c>
      <c r="G15" s="24" t="s">
        <v>54</v>
      </c>
    </row>
    <row r="16" spans="1:7" x14ac:dyDescent="0.25">
      <c r="A16" s="24" t="s">
        <v>55</v>
      </c>
      <c r="B16" s="24" t="s">
        <v>56</v>
      </c>
      <c r="C16" s="24" t="s">
        <v>57</v>
      </c>
      <c r="D16" s="24" t="s">
        <v>16</v>
      </c>
      <c r="E16" s="24" t="s">
        <v>55</v>
      </c>
      <c r="F16" s="25">
        <v>4</v>
      </c>
      <c r="G16" s="24" t="s">
        <v>58</v>
      </c>
    </row>
    <row r="17" spans="1:7" x14ac:dyDescent="0.25">
      <c r="A17" s="24" t="s">
        <v>59</v>
      </c>
      <c r="B17" s="24" t="s">
        <v>25</v>
      </c>
      <c r="C17" s="24" t="s">
        <v>60</v>
      </c>
      <c r="D17" s="24" t="s">
        <v>61</v>
      </c>
      <c r="E17" s="24" t="s">
        <v>59</v>
      </c>
      <c r="F17" s="25">
        <v>31</v>
      </c>
      <c r="G17" s="24" t="s">
        <v>25</v>
      </c>
    </row>
    <row r="18" spans="1:7" x14ac:dyDescent="0.25">
      <c r="A18" s="24" t="s">
        <v>62</v>
      </c>
      <c r="B18" s="24" t="s">
        <v>25</v>
      </c>
      <c r="C18" s="24" t="s">
        <v>63</v>
      </c>
      <c r="D18" s="24" t="s">
        <v>64</v>
      </c>
      <c r="E18" s="24" t="s">
        <v>62</v>
      </c>
      <c r="F18" s="25">
        <v>30</v>
      </c>
      <c r="G18" s="24" t="s">
        <v>25</v>
      </c>
    </row>
    <row r="19" spans="1:7" x14ac:dyDescent="0.25">
      <c r="A19" s="24" t="s">
        <v>65</v>
      </c>
      <c r="B19" s="24" t="s">
        <v>66</v>
      </c>
      <c r="C19" s="24" t="s">
        <v>67</v>
      </c>
      <c r="D19" s="24" t="s">
        <v>68</v>
      </c>
      <c r="E19" s="24" t="s">
        <v>65</v>
      </c>
      <c r="F19" s="25">
        <v>10</v>
      </c>
      <c r="G19" s="24" t="s">
        <v>25</v>
      </c>
    </row>
    <row r="20" spans="1:7" x14ac:dyDescent="0.25">
      <c r="A20" s="24" t="s">
        <v>69</v>
      </c>
      <c r="B20" s="24" t="s">
        <v>70</v>
      </c>
      <c r="C20" s="24" t="s">
        <v>71</v>
      </c>
      <c r="D20" s="24" t="s">
        <v>72</v>
      </c>
      <c r="E20" s="24" t="s">
        <v>69</v>
      </c>
      <c r="F20" s="25">
        <v>1</v>
      </c>
      <c r="G20" s="24" t="s">
        <v>6</v>
      </c>
    </row>
    <row r="21" spans="1:7" x14ac:dyDescent="0.25">
      <c r="A21" s="24" t="s">
        <v>73</v>
      </c>
      <c r="B21" s="24" t="s">
        <v>25</v>
      </c>
      <c r="C21" s="24" t="s">
        <v>74</v>
      </c>
      <c r="D21" s="24" t="s">
        <v>75</v>
      </c>
      <c r="E21" s="24" t="s">
        <v>73</v>
      </c>
      <c r="F21" s="25">
        <v>1</v>
      </c>
      <c r="G21" s="24" t="s">
        <v>25</v>
      </c>
    </row>
    <row r="22" spans="1:7" x14ac:dyDescent="0.25">
      <c r="A22" s="24" t="s">
        <v>76</v>
      </c>
      <c r="B22" s="24" t="s">
        <v>70</v>
      </c>
      <c r="C22" s="24" t="s">
        <v>77</v>
      </c>
      <c r="D22" s="24" t="s">
        <v>78</v>
      </c>
      <c r="E22" s="24" t="s">
        <v>76</v>
      </c>
      <c r="F22" s="25">
        <v>11</v>
      </c>
      <c r="G22" s="24" t="s">
        <v>6</v>
      </c>
    </row>
    <row r="23" spans="1:7" x14ac:dyDescent="0.25">
      <c r="A23" s="24" t="s">
        <v>79</v>
      </c>
      <c r="B23" s="24" t="s">
        <v>79</v>
      </c>
      <c r="C23" s="24" t="s">
        <v>80</v>
      </c>
      <c r="D23" s="24" t="s">
        <v>81</v>
      </c>
      <c r="E23" s="24" t="s">
        <v>79</v>
      </c>
      <c r="F23" s="25">
        <v>1</v>
      </c>
      <c r="G23" s="24" t="s">
        <v>25</v>
      </c>
    </row>
    <row r="24" spans="1:7" x14ac:dyDescent="0.25">
      <c r="A24" s="24" t="s">
        <v>82</v>
      </c>
      <c r="B24" s="24" t="s">
        <v>83</v>
      </c>
      <c r="C24" s="24" t="s">
        <v>84</v>
      </c>
      <c r="D24" s="24" t="s">
        <v>85</v>
      </c>
      <c r="E24" s="24" t="s">
        <v>86</v>
      </c>
      <c r="F24" s="25">
        <v>5</v>
      </c>
      <c r="G24" s="24" t="s">
        <v>6</v>
      </c>
    </row>
    <row r="25" spans="1:7" x14ac:dyDescent="0.25">
      <c r="A25" s="24" t="s">
        <v>87</v>
      </c>
      <c r="B25" s="24" t="s">
        <v>88</v>
      </c>
      <c r="C25" s="24" t="s">
        <v>89</v>
      </c>
      <c r="D25" s="24" t="s">
        <v>90</v>
      </c>
      <c r="E25" s="24" t="s">
        <v>91</v>
      </c>
      <c r="F25" s="25">
        <v>1</v>
      </c>
      <c r="G25" s="2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0"/>
  <sheetViews>
    <sheetView topLeftCell="A13" workbookViewId="0">
      <pane xSplit="1" topLeftCell="B1" activePane="topRight" state="frozen"/>
      <selection pane="topRight" activeCell="B33" sqref="B33"/>
    </sheetView>
  </sheetViews>
  <sheetFormatPr defaultRowHeight="15.75" x14ac:dyDescent="0.25"/>
  <cols>
    <col min="1" max="1" width="30.7109375" style="2" bestFit="1" customWidth="1"/>
    <col min="2" max="5" width="30.7109375" style="4" customWidth="1"/>
    <col min="6" max="6" width="30.7109375" style="5" customWidth="1"/>
  </cols>
  <sheetData>
    <row r="1" spans="1:6" x14ac:dyDescent="0.25">
      <c r="A1" s="1" t="s">
        <v>92</v>
      </c>
      <c r="B1" s="1"/>
      <c r="C1" s="1"/>
      <c r="D1" s="1"/>
      <c r="E1" s="1"/>
      <c r="F1" s="1"/>
    </row>
    <row r="2" spans="1:6" x14ac:dyDescent="0.25">
      <c r="A2" s="2" t="s">
        <v>93</v>
      </c>
      <c r="B2" s="3" t="s">
        <v>94</v>
      </c>
      <c r="C2" s="3"/>
      <c r="D2" s="3" t="s">
        <v>95</v>
      </c>
      <c r="E2" s="3"/>
      <c r="F2" s="3"/>
    </row>
    <row r="3" spans="1:6" x14ac:dyDescent="0.25">
      <c r="A3" s="2" t="s">
        <v>96</v>
      </c>
      <c r="B3" s="4" t="s">
        <v>97</v>
      </c>
      <c r="C3" s="4" t="s">
        <v>98</v>
      </c>
      <c r="D3" s="4" t="s">
        <v>99</v>
      </c>
      <c r="E3" s="4" t="s">
        <v>100</v>
      </c>
      <c r="F3" s="5" t="s">
        <v>101</v>
      </c>
    </row>
    <row r="4" spans="1:6" x14ac:dyDescent="0.25">
      <c r="A4" s="2" t="s">
        <v>102</v>
      </c>
      <c r="B4" s="4" t="s">
        <v>103</v>
      </c>
      <c r="C4" s="4" t="s">
        <v>104</v>
      </c>
      <c r="D4" s="4" t="s">
        <v>62</v>
      </c>
      <c r="E4" s="6" t="s">
        <v>105</v>
      </c>
      <c r="F4" s="4" t="s">
        <v>76</v>
      </c>
    </row>
    <row r="5" spans="1:6" s="10" customFormat="1" ht="78.75" x14ac:dyDescent="0.25">
      <c r="A5" s="7" t="s">
        <v>106</v>
      </c>
      <c r="B5" s="8" t="s">
        <v>107</v>
      </c>
      <c r="C5" s="9" t="s">
        <v>108</v>
      </c>
      <c r="D5" s="9" t="s">
        <v>109</v>
      </c>
      <c r="E5" s="9" t="s">
        <v>110</v>
      </c>
      <c r="F5" s="9" t="s">
        <v>111</v>
      </c>
    </row>
    <row r="6" spans="1:6" x14ac:dyDescent="0.25">
      <c r="A6" s="2" t="s">
        <v>112</v>
      </c>
      <c r="B6" s="4">
        <v>3.3</v>
      </c>
      <c r="C6" s="4">
        <v>5</v>
      </c>
      <c r="D6" s="4">
        <v>5</v>
      </c>
      <c r="E6" s="4">
        <v>5</v>
      </c>
      <c r="F6" s="11" t="s">
        <v>113</v>
      </c>
    </row>
    <row r="7" spans="1:6" x14ac:dyDescent="0.25">
      <c r="A7" s="2" t="s">
        <v>114</v>
      </c>
      <c r="B7" s="4">
        <v>100</v>
      </c>
      <c r="C7" s="4">
        <v>1</v>
      </c>
      <c r="D7" s="4">
        <v>3</v>
      </c>
      <c r="E7" s="4">
        <v>3</v>
      </c>
      <c r="F7" s="11" t="s">
        <v>113</v>
      </c>
    </row>
    <row r="8" spans="1:6" x14ac:dyDescent="0.25">
      <c r="A8" s="2" t="s">
        <v>115</v>
      </c>
      <c r="B8" s="4">
        <f>B6*B7</f>
        <v>330</v>
      </c>
      <c r="C8" s="4">
        <f t="shared" ref="C8:E8" si="0">C6*C7</f>
        <v>5</v>
      </c>
      <c r="D8" s="4">
        <f t="shared" si="0"/>
        <v>15</v>
      </c>
      <c r="E8" s="4">
        <f t="shared" si="0"/>
        <v>15</v>
      </c>
      <c r="F8" s="5">
        <f>(D8+E8)/0.3</f>
        <v>100</v>
      </c>
    </row>
    <row r="9" spans="1:6" x14ac:dyDescent="0.25">
      <c r="A9" s="2" t="s">
        <v>116</v>
      </c>
      <c r="B9" s="4">
        <v>1</v>
      </c>
      <c r="C9" s="4">
        <v>5</v>
      </c>
      <c r="D9" s="4">
        <v>3</v>
      </c>
      <c r="E9" s="4">
        <v>5</v>
      </c>
      <c r="F9" s="5">
        <v>1</v>
      </c>
    </row>
    <row r="10" spans="1:6" x14ac:dyDescent="0.25">
      <c r="A10" s="12" t="s">
        <v>117</v>
      </c>
      <c r="B10" s="4">
        <f>B8*B9</f>
        <v>330</v>
      </c>
      <c r="C10" s="4">
        <f t="shared" ref="C10:F10" si="1">C8*C9</f>
        <v>25</v>
      </c>
      <c r="D10" s="4">
        <f t="shared" si="1"/>
        <v>45</v>
      </c>
      <c r="E10" s="4">
        <f t="shared" si="1"/>
        <v>75</v>
      </c>
      <c r="F10" s="4">
        <f t="shared" si="1"/>
        <v>100</v>
      </c>
    </row>
    <row r="11" spans="1:6" x14ac:dyDescent="0.25">
      <c r="A11" s="13" t="s">
        <v>118</v>
      </c>
      <c r="B11" s="14">
        <f>B10</f>
        <v>330</v>
      </c>
      <c r="C11" s="14">
        <f>C10</f>
        <v>25</v>
      </c>
      <c r="D11" s="15">
        <f>D10+E10+F10</f>
        <v>220</v>
      </c>
      <c r="E11" s="15"/>
      <c r="F11" s="15"/>
    </row>
    <row r="12" spans="1:6" x14ac:dyDescent="0.25">
      <c r="A12" s="1" t="s">
        <v>119</v>
      </c>
      <c r="B12" s="1"/>
      <c r="C12" s="1"/>
      <c r="D12" s="1"/>
      <c r="E12" s="1"/>
      <c r="F12" s="1"/>
    </row>
    <row r="13" spans="1:6" x14ac:dyDescent="0.25">
      <c r="A13" s="2" t="s">
        <v>120</v>
      </c>
      <c r="D13" s="16" t="s">
        <v>121</v>
      </c>
      <c r="E13" s="16"/>
      <c r="F13" s="16"/>
    </row>
    <row r="14" spans="1:6" s="10" customFormat="1" x14ac:dyDescent="0.25">
      <c r="A14" s="7" t="s">
        <v>122</v>
      </c>
      <c r="C14" s="17"/>
      <c r="D14" s="18" t="s">
        <v>123</v>
      </c>
      <c r="E14" s="18"/>
      <c r="F14" s="18"/>
    </row>
    <row r="15" spans="1:6" x14ac:dyDescent="0.25">
      <c r="A15" s="2" t="s">
        <v>124</v>
      </c>
      <c r="D15" s="16">
        <v>5</v>
      </c>
      <c r="E15" s="16"/>
      <c r="F15" s="16"/>
    </row>
    <row r="16" spans="1:6" x14ac:dyDescent="0.25">
      <c r="A16" s="2" t="s">
        <v>125</v>
      </c>
      <c r="D16" s="16">
        <v>80</v>
      </c>
      <c r="E16" s="16"/>
      <c r="F16" s="16"/>
    </row>
    <row r="17" spans="1:6" x14ac:dyDescent="0.25">
      <c r="A17" s="2" t="s">
        <v>126</v>
      </c>
      <c r="D17" s="16">
        <f>D15*D16</f>
        <v>400</v>
      </c>
      <c r="E17" s="16"/>
      <c r="F17" s="16"/>
    </row>
    <row r="18" spans="1:6" x14ac:dyDescent="0.25">
      <c r="A18" s="2" t="s">
        <v>127</v>
      </c>
      <c r="B18" s="4">
        <v>1</v>
      </c>
      <c r="C18" s="4">
        <v>1</v>
      </c>
      <c r="D18" s="16">
        <v>10</v>
      </c>
      <c r="E18" s="16"/>
      <c r="F18" s="16"/>
    </row>
    <row r="19" spans="1:6" x14ac:dyDescent="0.25">
      <c r="A19" s="13" t="s">
        <v>128</v>
      </c>
      <c r="B19" s="14">
        <f>B11</f>
        <v>330</v>
      </c>
      <c r="C19" s="14">
        <f>C11*C18</f>
        <v>25</v>
      </c>
      <c r="D19" s="15">
        <f>D11*10/0.3</f>
        <v>7333.3333333333339</v>
      </c>
      <c r="E19" s="15"/>
      <c r="F19" s="15"/>
    </row>
    <row r="20" spans="1:6" x14ac:dyDescent="0.25">
      <c r="A20" s="1" t="s">
        <v>129</v>
      </c>
      <c r="B20" s="1"/>
      <c r="C20" s="1"/>
      <c r="D20" s="1"/>
      <c r="E20" s="1"/>
      <c r="F20" s="1"/>
    </row>
    <row r="21" spans="1:6" x14ac:dyDescent="0.25">
      <c r="A21" s="2" t="s">
        <v>120</v>
      </c>
      <c r="B21" s="4" t="s">
        <v>73</v>
      </c>
      <c r="C21" s="16" t="s">
        <v>130</v>
      </c>
      <c r="D21" s="16"/>
      <c r="E21" s="16"/>
      <c r="F21" s="16"/>
    </row>
    <row r="22" spans="1:6" ht="78.75" x14ac:dyDescent="0.25">
      <c r="A22" s="7" t="s">
        <v>122</v>
      </c>
      <c r="B22" s="9" t="s">
        <v>131</v>
      </c>
      <c r="C22" s="19" t="s">
        <v>132</v>
      </c>
      <c r="D22" s="20"/>
      <c r="E22" s="20"/>
      <c r="F22" s="20"/>
    </row>
    <row r="23" spans="1:6" x14ac:dyDescent="0.25">
      <c r="A23" s="2" t="s">
        <v>124</v>
      </c>
      <c r="B23" s="4">
        <v>3.3</v>
      </c>
      <c r="C23" s="20" t="s">
        <v>133</v>
      </c>
      <c r="D23" s="20"/>
      <c r="E23" s="20"/>
      <c r="F23" s="20"/>
    </row>
    <row r="24" spans="1:6" x14ac:dyDescent="0.25">
      <c r="A24" s="2" t="s">
        <v>125</v>
      </c>
      <c r="B24" s="4">
        <v>1000</v>
      </c>
      <c r="C24" s="16" t="s">
        <v>134</v>
      </c>
      <c r="D24" s="16"/>
      <c r="E24" s="16"/>
      <c r="F24" s="16"/>
    </row>
    <row r="25" spans="1:6" x14ac:dyDescent="0.25">
      <c r="A25" s="13" t="s">
        <v>126</v>
      </c>
      <c r="B25" s="21">
        <f>B23*B24</f>
        <v>3300</v>
      </c>
      <c r="C25" s="15" t="s">
        <v>135</v>
      </c>
      <c r="D25" s="15"/>
      <c r="E25" s="15"/>
      <c r="F25" s="15"/>
    </row>
    <row r="29" spans="1:6" x14ac:dyDescent="0.25">
      <c r="A29" s="2" t="s">
        <v>136</v>
      </c>
      <c r="B29" s="22" t="s">
        <v>137</v>
      </c>
    </row>
    <row r="30" spans="1:6" x14ac:dyDescent="0.25">
      <c r="A30" s="2" t="s">
        <v>138</v>
      </c>
      <c r="B30" s="22" t="s">
        <v>139</v>
      </c>
    </row>
  </sheetData>
  <mergeCells count="18">
    <mergeCell ref="A20:F20"/>
    <mergeCell ref="C21:F21"/>
    <mergeCell ref="C22:F22"/>
    <mergeCell ref="C23:F23"/>
    <mergeCell ref="C24:F24"/>
    <mergeCell ref="C25:F25"/>
    <mergeCell ref="D14:F14"/>
    <mergeCell ref="D15:F15"/>
    <mergeCell ref="D16:F16"/>
    <mergeCell ref="D17:F17"/>
    <mergeCell ref="D18:F18"/>
    <mergeCell ref="D19:F19"/>
    <mergeCell ref="A1:F1"/>
    <mergeCell ref="B2:C2"/>
    <mergeCell ref="D2:F2"/>
    <mergeCell ref="D11:F11"/>
    <mergeCell ref="A12:F12"/>
    <mergeCell ref="D13:F13"/>
  </mergeCells>
  <hyperlinks>
    <hyperlink ref="B5" r:id="rId1"/>
    <hyperlink ref="E5" r:id="rId2"/>
    <hyperlink ref="D14" r:id="rId3"/>
    <hyperlink ref="C5" r:id="rId4"/>
    <hyperlink ref="D5" r:id="rId5"/>
    <hyperlink ref="B22" r:id="rId6"/>
    <hyperlink ref="F5" r:id="rId7"/>
    <hyperlink ref="C22" r:id="rId8" display="https://www.digikey.com/product-detail/en/stmicroelectronics/L7806CD2T-TR/497-7258-1-ND/1884018"/>
    <hyperlink ref="B29" r:id="rId9"/>
    <hyperlink ref="B30" r:id="rId10"/>
  </hyperlinks>
  <pageMargins left="0.7" right="0.7" top="0.75" bottom="0.75" header="0.3" footer="0.3"/>
  <pageSetup orientation="portrait"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SCMLI_Snipped</vt:lpstr>
      <vt:lpstr>Power Consumption Consumption</vt:lpstr>
    </vt:vector>
  </TitlesOfParts>
  <Company>Massachusetts Institute of Technology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Yiou</dc:creator>
  <cp:lastModifiedBy>Yiou</cp:lastModifiedBy>
  <dcterms:created xsi:type="dcterms:W3CDTF">2019-08-21T21:44:59Z</dcterms:created>
  <dcterms:modified xsi:type="dcterms:W3CDTF">2019-08-21T21:46:25Z</dcterms:modified>
</cp:coreProperties>
</file>