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06421492071dedd/Programming/MATLAB/Projects/MyWork/SEAL/Theses/WorkingDirectory/"/>
    </mc:Choice>
  </mc:AlternateContent>
  <xr:revisionPtr revIDLastSave="317" documentId="8_{CB2B1F70-5B65-8E49-AE0D-ECC9AB999B9C}" xr6:coauthVersionLast="47" xr6:coauthVersionMax="47" xr10:uidLastSave="{D0418CC2-A1F1-4D8A-B118-A22F485ADFC7}"/>
  <bookViews>
    <workbookView xWindow="-15045" yWindow="-3540" windowWidth="13515" windowHeight="11385" activeTab="5" xr2:uid="{DBBFF40C-08CE-4204-B8AA-93E46D4D41B4}"/>
  </bookViews>
  <sheets>
    <sheet name="Freq" sheetId="1" r:id="rId1"/>
    <sheet name="Bfield" sheetId="2" r:id="rId2"/>
    <sheet name="BSAT" sheetId="4" r:id="rId3"/>
    <sheet name="Ploss" sheetId="3" r:id="rId4"/>
    <sheet name="MU" sheetId="5" r:id="rId5"/>
    <sheet name="Density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E3" i="3"/>
  <c r="D3" i="3"/>
  <c r="C3" i="3"/>
</calcChain>
</file>

<file path=xl/sharedStrings.xml><?xml version="1.0" encoding="utf-8"?>
<sst xmlns="http://schemas.openxmlformats.org/spreadsheetml/2006/main" count="61" uniqueCount="28">
  <si>
    <t>Material</t>
  </si>
  <si>
    <t>Name</t>
  </si>
  <si>
    <t>F1 (Hz)</t>
  </si>
  <si>
    <t>F2 (Hz)</t>
  </si>
  <si>
    <t>SiliconSteel14mil</t>
  </si>
  <si>
    <t>F1_B1 (T)</t>
  </si>
  <si>
    <t>F1_B2 (T)</t>
  </si>
  <si>
    <t>F2_B1 (T)</t>
  </si>
  <si>
    <t>F2_B2 (T)</t>
  </si>
  <si>
    <t>F3_B1 (T)</t>
  </si>
  <si>
    <t>F3_B2 (T)</t>
  </si>
  <si>
    <t>F4_B1 (T)</t>
  </si>
  <si>
    <t>F4_B2 (T)</t>
  </si>
  <si>
    <t>Mat1_SiliconSteel14mil</t>
  </si>
  <si>
    <t>F1_P1</t>
  </si>
  <si>
    <t>F1_P2</t>
  </si>
  <si>
    <t>F2_P1</t>
  </si>
  <si>
    <t>F2_P2</t>
  </si>
  <si>
    <t>F3_P1</t>
  </si>
  <si>
    <t>F3_P2</t>
  </si>
  <si>
    <t>F4_P1</t>
  </si>
  <si>
    <t>F4_P2</t>
  </si>
  <si>
    <t>BSAT_F1</t>
  </si>
  <si>
    <t>BSAT_F2</t>
  </si>
  <si>
    <t>MU_F1</t>
  </si>
  <si>
    <t>MU_F2</t>
  </si>
  <si>
    <t>Density</t>
  </si>
  <si>
    <t>Finemet FT-3M .018mm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</si>
</sst>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3957-C599-4EF5-ADED-AAAA23B84F7B}">
  <dimension ref="A1:L3"/>
  <sheetViews>
    <sheetView workbookViewId="0">
      <selection activeCell="B11" sqref="B11"/>
    </sheetView>
  </sheetViews>
  <sheetFormatPr defaultColWidth="8.85546875" defaultRowHeight="15" x14ac:dyDescent="0.25"/>
  <cols>
    <col min="2" max="2" width="21.42578125" bestFit="1" customWidth="1"/>
    <col min="3" max="3" width="9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2</v>
      </c>
      <c r="H1" s="1" t="s">
        <v>3</v>
      </c>
      <c r="I1" s="1" t="s">
        <v>2</v>
      </c>
      <c r="J1" s="1" t="s">
        <v>3</v>
      </c>
      <c r="K1" s="1"/>
      <c r="L1" s="1"/>
    </row>
    <row r="2" spans="1:12" x14ac:dyDescent="0.25">
      <c r="A2">
        <v>1</v>
      </c>
      <c r="B2" t="s">
        <v>4</v>
      </c>
      <c r="C2">
        <v>1000</v>
      </c>
      <c r="D2">
        <v>1000</v>
      </c>
      <c r="E2">
        <v>2000</v>
      </c>
      <c r="F2">
        <v>2000</v>
      </c>
      <c r="G2">
        <v>4000</v>
      </c>
      <c r="H2">
        <v>4000</v>
      </c>
    </row>
    <row r="3" spans="1:12" x14ac:dyDescent="0.25">
      <c r="A3">
        <v>16</v>
      </c>
      <c r="B3" t="s">
        <v>27</v>
      </c>
      <c r="C3">
        <v>20000</v>
      </c>
      <c r="D3">
        <v>20000</v>
      </c>
      <c r="E3">
        <v>10000</v>
      </c>
      <c r="F3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C21D4-B214-41DA-A3D0-E209B569448D}">
  <dimension ref="A1:J3"/>
  <sheetViews>
    <sheetView workbookViewId="0">
      <selection activeCell="A3" sqref="A3"/>
    </sheetView>
  </sheetViews>
  <sheetFormatPr defaultColWidth="8.85546875" defaultRowHeight="15" x14ac:dyDescent="0.25"/>
  <cols>
    <col min="2" max="2" width="21.42578125" bestFit="1" customWidth="1"/>
  </cols>
  <sheetData>
    <row r="1" spans="1:10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spans="1:10" x14ac:dyDescent="0.25">
      <c r="A2">
        <v>1</v>
      </c>
      <c r="B2" t="s">
        <v>13</v>
      </c>
      <c r="C2">
        <v>0.2</v>
      </c>
      <c r="D2">
        <v>0.4</v>
      </c>
      <c r="E2">
        <v>0.7</v>
      </c>
      <c r="F2">
        <v>1</v>
      </c>
      <c r="G2">
        <v>0.5</v>
      </c>
      <c r="H2">
        <v>0.6</v>
      </c>
    </row>
    <row r="3" spans="1:10" x14ac:dyDescent="0.25">
      <c r="A3">
        <v>16</v>
      </c>
      <c r="B3" t="s">
        <v>27</v>
      </c>
      <c r="C3">
        <v>0.3</v>
      </c>
      <c r="D3">
        <v>0.6</v>
      </c>
      <c r="E3">
        <v>0.3</v>
      </c>
      <c r="F3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D67B0-4418-460A-9C79-0C18C12E35CB}">
  <dimension ref="A1:H3"/>
  <sheetViews>
    <sheetView workbookViewId="0">
      <selection activeCell="C7" sqref="C7"/>
    </sheetView>
  </sheetViews>
  <sheetFormatPr defaultColWidth="8.85546875" defaultRowHeight="15" x14ac:dyDescent="0.25"/>
  <cols>
    <col min="2" max="2" width="21.42578125" bestFit="1" customWidth="1"/>
    <col min="3" max="3" width="8" customWidth="1"/>
  </cols>
  <sheetData>
    <row r="1" spans="1:8" x14ac:dyDescent="0.25">
      <c r="A1" s="1" t="s">
        <v>0</v>
      </c>
      <c r="B1" s="1" t="s">
        <v>1</v>
      </c>
      <c r="C1" s="1" t="s">
        <v>22</v>
      </c>
      <c r="D1" s="1" t="s">
        <v>23</v>
      </c>
      <c r="E1" s="1" t="s">
        <v>22</v>
      </c>
      <c r="F1" s="1" t="s">
        <v>23</v>
      </c>
      <c r="G1" s="1" t="s">
        <v>22</v>
      </c>
      <c r="H1" s="1" t="s">
        <v>23</v>
      </c>
    </row>
    <row r="2" spans="1:8" x14ac:dyDescent="0.25">
      <c r="A2">
        <v>1</v>
      </c>
      <c r="B2" t="s">
        <v>13</v>
      </c>
      <c r="C2">
        <v>1.5</v>
      </c>
    </row>
    <row r="3" spans="1:8" x14ac:dyDescent="0.25">
      <c r="A3">
        <v>16</v>
      </c>
      <c r="B3" t="s">
        <v>27</v>
      </c>
      <c r="C3">
        <v>1.23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D8C7E-15F9-48DF-9250-6C37E27A8B54}">
  <dimension ref="A1:J3"/>
  <sheetViews>
    <sheetView zoomScale="111" workbookViewId="0">
      <selection activeCell="D22" sqref="D22"/>
    </sheetView>
  </sheetViews>
  <sheetFormatPr defaultColWidth="8.85546875" defaultRowHeight="15" x14ac:dyDescent="0.25"/>
  <cols>
    <col min="2" max="2" width="21.42578125" bestFit="1" customWidth="1"/>
  </cols>
  <sheetData>
    <row r="1" spans="1:10" x14ac:dyDescent="0.25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 x14ac:dyDescent="0.25">
      <c r="A2">
        <v>1</v>
      </c>
      <c r="B2" t="s">
        <v>13</v>
      </c>
      <c r="C2">
        <v>30.062000000000001</v>
      </c>
      <c r="D2">
        <v>106.82</v>
      </c>
      <c r="E2">
        <v>704.25</v>
      </c>
      <c r="F2">
        <v>1442.62</v>
      </c>
      <c r="G2">
        <v>1894.1</v>
      </c>
      <c r="H2">
        <v>2718.01</v>
      </c>
    </row>
    <row r="3" spans="1:10" x14ac:dyDescent="0.25">
      <c r="A3">
        <v>16</v>
      </c>
      <c r="B3" t="s">
        <v>27</v>
      </c>
      <c r="C3">
        <f>7.3*4.482</f>
        <v>32.718600000000002</v>
      </c>
      <c r="D3">
        <f>7.3*18.397</f>
        <v>134.29809999999998</v>
      </c>
      <c r="E3">
        <f>7.3*3.762</f>
        <v>27.462599999999998</v>
      </c>
      <c r="F3">
        <f>7.3*16.398</f>
        <v>119.7054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9596B-151E-4D3F-B742-CE0B240D8584}">
  <dimension ref="A1:H3"/>
  <sheetViews>
    <sheetView workbookViewId="0">
      <selection activeCell="C9" sqref="C9"/>
    </sheetView>
  </sheetViews>
  <sheetFormatPr defaultColWidth="8.85546875" defaultRowHeight="15" x14ac:dyDescent="0.25"/>
  <cols>
    <col min="2" max="2" width="21.42578125" bestFit="1" customWidth="1"/>
  </cols>
  <sheetData>
    <row r="1" spans="1:8" x14ac:dyDescent="0.25">
      <c r="A1" s="1" t="s">
        <v>0</v>
      </c>
      <c r="B1" s="1" t="s">
        <v>1</v>
      </c>
      <c r="C1" s="1" t="s">
        <v>24</v>
      </c>
      <c r="D1" s="1" t="s">
        <v>25</v>
      </c>
      <c r="E1" s="1" t="s">
        <v>24</v>
      </c>
      <c r="F1" s="1" t="s">
        <v>25</v>
      </c>
      <c r="G1" s="1" t="s">
        <v>24</v>
      </c>
      <c r="H1" s="1" t="s">
        <v>25</v>
      </c>
    </row>
    <row r="2" spans="1:8" x14ac:dyDescent="0.25">
      <c r="A2">
        <v>1</v>
      </c>
      <c r="B2" t="s">
        <v>13</v>
      </c>
      <c r="C2">
        <v>1500</v>
      </c>
    </row>
    <row r="3" spans="1:8" x14ac:dyDescent="0.25">
      <c r="A3">
        <v>16</v>
      </c>
      <c r="B3" t="s">
        <v>27</v>
      </c>
      <c r="C3">
        <v>70000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1355B-759E-0543-8F8C-AEFC5B331D69}">
  <dimension ref="A1:H3"/>
  <sheetViews>
    <sheetView tabSelected="1" workbookViewId="0">
      <selection activeCell="D9" sqref="D9"/>
    </sheetView>
  </sheetViews>
  <sheetFormatPr defaultColWidth="11.42578125" defaultRowHeight="15" x14ac:dyDescent="0.25"/>
  <cols>
    <col min="2" max="2" width="22.7109375" customWidth="1"/>
  </cols>
  <sheetData>
    <row r="1" spans="1:8" x14ac:dyDescent="0.25">
      <c r="A1" s="1" t="s">
        <v>0</v>
      </c>
      <c r="B1" s="1" t="s">
        <v>1</v>
      </c>
      <c r="C1" s="1" t="s">
        <v>26</v>
      </c>
      <c r="D1" s="1"/>
      <c r="E1" s="1"/>
      <c r="F1" s="1"/>
      <c r="G1" s="1"/>
      <c r="H1" s="1"/>
    </row>
    <row r="2" spans="1:8" x14ac:dyDescent="0.25">
      <c r="A2">
        <v>1</v>
      </c>
      <c r="B2" t="s">
        <v>13</v>
      </c>
      <c r="C2">
        <v>7.65</v>
      </c>
    </row>
    <row r="3" spans="1:8" x14ac:dyDescent="0.25">
      <c r="A3">
        <v>16</v>
      </c>
      <c r="B3" t="s">
        <v>27</v>
      </c>
      <c r="C3">
        <v>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Freq</vt:lpstr>
      <vt:lpstr>Bfield</vt:lpstr>
      <vt:lpstr>BSAT</vt:lpstr>
      <vt:lpstr>Ploss</vt:lpstr>
      <vt:lpstr>MU</vt:lpstr>
      <vt:lpstr>Density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Cieslak</dc:creator>
  <cp:keywords/>
  <dc:description/>
  <cp:lastModifiedBy>Andrew Cieslak</cp:lastModifiedBy>
  <cp:revision/>
  <dcterms:created xsi:type="dcterms:W3CDTF">2025-08-16T18:47:59Z</dcterms:created>
  <dcterms:modified xsi:type="dcterms:W3CDTF">2025-10-10T05:09:51Z</dcterms:modified>
  <cp:category/>
  <cp:contentStatus/>
</cp:coreProperties>
</file>